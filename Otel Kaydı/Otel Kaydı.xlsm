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Excel Uygulama\Otel Kaydı\"/>
    </mc:Choice>
  </mc:AlternateContent>
  <xr:revisionPtr revIDLastSave="0" documentId="13_ncr:1_{E5904EC2-A406-4E44-A136-BBE889BB2895}" xr6:coauthVersionLast="47" xr6:coauthVersionMax="47" xr10:uidLastSave="{00000000-0000-0000-0000-000000000000}"/>
  <bookViews>
    <workbookView xWindow="-28920" yWindow="2025" windowWidth="29040" windowHeight="15840" firstSheet="2" activeTab="2" xr2:uid="{00000000-000D-0000-FFFF-FFFF00000000}"/>
  </bookViews>
  <sheets>
    <sheet name="Sayfa1" sheetId="1" state="hidden" r:id="rId1"/>
    <sheet name="Sayfa2" sheetId="2" state="hidden" r:id="rId2"/>
    <sheet name="Sayf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2" l="1"/>
  <c r="G8" i="1"/>
  <c r="I9" i="1"/>
  <c r="E2" i="1"/>
  <c r="E7" i="1"/>
  <c r="E4" i="1"/>
  <c r="G3" i="1"/>
  <c r="E8" i="1"/>
  <c r="H8" i="1" s="1"/>
  <c r="G6" i="1"/>
  <c r="I8" i="1"/>
  <c r="E11" i="1"/>
  <c r="G9" i="1"/>
  <c r="E5" i="1"/>
  <c r="E9" i="1"/>
  <c r="G5" i="1"/>
  <c r="E10" i="1"/>
  <c r="I4" i="1"/>
  <c r="I10" i="1"/>
  <c r="I3" i="1"/>
  <c r="G10" i="1"/>
  <c r="I6" i="1"/>
  <c r="G4" i="1"/>
  <c r="I7" i="1"/>
  <c r="I5" i="1"/>
  <c r="H10" i="1"/>
  <c r="G2" i="1"/>
  <c r="E6" i="1"/>
  <c r="G11" i="1"/>
  <c r="I11" i="1"/>
  <c r="G7" i="1"/>
  <c r="I2" i="1"/>
  <c r="E3" i="1"/>
  <c r="J8" i="1" l="1"/>
  <c r="J10" i="1"/>
  <c r="H4" i="1"/>
  <c r="H5" i="1"/>
  <c r="H7" i="1"/>
  <c r="H6" i="1"/>
  <c r="H2" i="1"/>
  <c r="H11" i="1"/>
  <c r="H9" i="1"/>
  <c r="H3" i="1"/>
  <c r="J9" i="1" l="1"/>
  <c r="J2" i="1"/>
  <c r="J7" i="1"/>
  <c r="J4" i="1"/>
  <c r="J5" i="1"/>
  <c r="J3" i="1"/>
  <c r="J11" i="1"/>
  <c r="J6" i="1"/>
</calcChain>
</file>

<file path=xl/sharedStrings.xml><?xml version="1.0" encoding="utf-8"?>
<sst xmlns="http://schemas.openxmlformats.org/spreadsheetml/2006/main" count="202" uniqueCount="103">
  <si>
    <t>çift</t>
  </si>
  <si>
    <t>tek</t>
  </si>
  <si>
    <t>fibonacci-1</t>
  </si>
  <si>
    <t>fibonacci-2</t>
  </si>
  <si>
    <t>fibonacci-3</t>
  </si>
  <si>
    <t>fibonacci-4</t>
  </si>
  <si>
    <t>fibonacci-5</t>
  </si>
  <si>
    <t>fibonacci-6</t>
  </si>
  <si>
    <t>fibonacci-7</t>
  </si>
  <si>
    <t>fibonacci-8</t>
  </si>
  <si>
    <t>fibonacci-9</t>
  </si>
  <si>
    <t>fibonacci-10</t>
  </si>
  <si>
    <t>fibonacci-11</t>
  </si>
  <si>
    <t>fibonacci-12</t>
  </si>
  <si>
    <t>fibonacci-13</t>
  </si>
  <si>
    <t>fibonacci-14</t>
  </si>
  <si>
    <t>fibonacci-15</t>
  </si>
  <si>
    <t>fibonacci-16</t>
  </si>
  <si>
    <t>fibonacci-17</t>
  </si>
  <si>
    <t>fibonacci-18</t>
  </si>
  <si>
    <t>fibonacci-19</t>
  </si>
  <si>
    <t>fibonacci-20</t>
  </si>
  <si>
    <t>1.İşçi</t>
  </si>
  <si>
    <t>2.İşçi</t>
  </si>
  <si>
    <t>3.İşçi</t>
  </si>
  <si>
    <t>4.İşçi</t>
  </si>
  <si>
    <t>5.İşçi</t>
  </si>
  <si>
    <t>6.İşçi</t>
  </si>
  <si>
    <t>7.İşçi</t>
  </si>
  <si>
    <t>8.İşçi</t>
  </si>
  <si>
    <t>9.İşçi</t>
  </si>
  <si>
    <t>10.İşçi</t>
  </si>
  <si>
    <t>AYLIK ÇALIŞMA SAATİ</t>
  </si>
  <si>
    <t>ÜRETİLEN PARÇA SAYISI</t>
  </si>
  <si>
    <t>FAZLA MESAİ</t>
  </si>
  <si>
    <t>Standart zaman= 10dk/1parça</t>
  </si>
  <si>
    <t>Saat ücret=10tl/saat</t>
  </si>
  <si>
    <t>Mesai zammı=%50</t>
  </si>
  <si>
    <t>Garanti Ücret</t>
  </si>
  <si>
    <t>Prim</t>
  </si>
  <si>
    <t>Mesai Zammı</t>
  </si>
  <si>
    <t>TASARRUF EDİLEN ZAMAN</t>
  </si>
  <si>
    <t>Brüt Ücret</t>
  </si>
  <si>
    <t>Kelime Sayısı:</t>
  </si>
  <si>
    <t>BİLGİLER</t>
  </si>
  <si>
    <t>MÜŞTERİ BİLGİLERİ</t>
  </si>
  <si>
    <t xml:space="preserve">ODA </t>
  </si>
  <si>
    <t>Oda Numarası:</t>
  </si>
  <si>
    <t>İsim:</t>
  </si>
  <si>
    <t>Soy isim:</t>
  </si>
  <si>
    <t>TC no:</t>
  </si>
  <si>
    <t>Tel no:</t>
  </si>
  <si>
    <t>Tel no2:</t>
  </si>
  <si>
    <t>Adres:</t>
  </si>
  <si>
    <t>E-posta:</t>
  </si>
  <si>
    <t>Ülke:</t>
  </si>
  <si>
    <t>Notlar:</t>
  </si>
  <si>
    <t>ODA         7</t>
  </si>
  <si>
    <t/>
  </si>
  <si>
    <t>vasıtasıyla</t>
  </si>
  <si>
    <t>village</t>
  </si>
  <si>
    <t>köy</t>
  </si>
  <si>
    <t>almost</t>
  </si>
  <si>
    <t>neredeyse</t>
  </si>
  <si>
    <t>mükemmelliğin tadını çıkar</t>
  </si>
  <si>
    <t>enjoy your excellent</t>
  </si>
  <si>
    <t>through</t>
  </si>
  <si>
    <t>occasions</t>
  </si>
  <si>
    <t>durumlar</t>
  </si>
  <si>
    <t>reasonable prices</t>
  </si>
  <si>
    <t>uygun fiyatlar</t>
  </si>
  <si>
    <t xml:space="preserve">statue </t>
  </si>
  <si>
    <t>heykel</t>
  </si>
  <si>
    <t xml:space="preserve">present </t>
  </si>
  <si>
    <t>mevcut</t>
  </si>
  <si>
    <t>1</t>
  </si>
  <si>
    <t>enes</t>
  </si>
  <si>
    <t>yılmaz</t>
  </si>
  <si>
    <t>1231</t>
  </si>
  <si>
    <t>123</t>
  </si>
  <si>
    <t>131</t>
  </si>
  <si>
    <t>12345678911</t>
  </si>
  <si>
    <t>istanbul</t>
  </si>
  <si>
    <t>enes1996yilmaz@gmail</t>
  </si>
  <si>
    <t>ODA - 1</t>
  </si>
  <si>
    <t>ODA - 2</t>
  </si>
  <si>
    <t>ODA - 3</t>
  </si>
  <si>
    <t>ODA - 4</t>
  </si>
  <si>
    <t>ODA - 5</t>
  </si>
  <si>
    <t>ODA - 6</t>
  </si>
  <si>
    <t>ODA - 8</t>
  </si>
  <si>
    <t>ODA - 9</t>
  </si>
  <si>
    <t>ODA  - 10</t>
  </si>
  <si>
    <t>Türkiye</t>
  </si>
  <si>
    <t>2</t>
  </si>
  <si>
    <t>1231256161</t>
  </si>
  <si>
    <t>12341341</t>
  </si>
  <si>
    <t>124134</t>
  </si>
  <si>
    <t>deneme@gmail.com</t>
  </si>
  <si>
    <t>Ahmet</t>
  </si>
  <si>
    <t>YAVUZ</t>
  </si>
  <si>
    <t>Adana</t>
  </si>
  <si>
    <t>Bilgilerde güncelleme  yapıldı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</si>
</sst>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vertAlign val="superscript"/>
      <sz val="24"/>
      <color rgb="FF000000"/>
      <name val="Agency FB"/>
      <family val="2"/>
    </font>
    <font>
      <b/>
      <sz val="20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3" fillId="2" borderId="6" xfId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2" borderId="7" xfId="0" applyFont="1" applyFill="1" applyBorder="1" applyAlignment="1">
      <alignment horizontal="right"/>
    </xf>
    <xf numFmtId="0" fontId="0" fillId="2" borderId="8" xfId="0" applyFill="1" applyBorder="1" applyAlignment="1">
      <alignment horizontal="center"/>
    </xf>
    <xf numFmtId="0" fontId="4" fillId="2" borderId="10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right"/>
    </xf>
    <xf numFmtId="0" fontId="0" fillId="2" borderId="13" xfId="0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0" fontId="3" fillId="3" borderId="6" xfId="1" applyFill="1" applyBorder="1" applyAlignment="1">
      <alignment horizontal="center"/>
    </xf>
    <xf numFmtId="0" fontId="4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vertical="center" textRotation="45"/>
    </xf>
    <xf numFmtId="0" fontId="2" fillId="3" borderId="14" xfId="0" applyFont="1" applyFill="1" applyBorder="1" applyAlignment="1">
      <alignment horizontal="center" vertical="center" textRotation="45"/>
    </xf>
    <xf numFmtId="0" fontId="2" fillId="2" borderId="11" xfId="0" applyFont="1" applyFill="1" applyBorder="1" applyAlignment="1">
      <alignment horizontal="center" vertical="center" textRotation="45"/>
    </xf>
    <xf numFmtId="0" fontId="2" fillId="2" borderId="14" xfId="0" applyFont="1" applyFill="1" applyBorder="1" applyAlignment="1">
      <alignment horizontal="center" vertical="center" textRotation="45"/>
    </xf>
  </cellXfs>
  <cellStyles count="2">
    <cellStyle name="Köprü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Sayfa1!$B$1</c:f>
              <c:strCache>
                <c:ptCount val="1"/>
                <c:pt idx="0">
                  <c:v>AYLIK ÇALIŞMA SAATİ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Sayfa1!$B$2:$B$15</c:f>
              <c:numCache>
                <c:formatCode>General</c:formatCode>
                <c:ptCount val="14"/>
                <c:pt idx="0">
                  <c:v>309</c:v>
                </c:pt>
                <c:pt idx="1">
                  <c:v>400</c:v>
                </c:pt>
                <c:pt idx="2">
                  <c:v>365</c:v>
                </c:pt>
                <c:pt idx="3">
                  <c:v>348</c:v>
                </c:pt>
                <c:pt idx="4">
                  <c:v>330</c:v>
                </c:pt>
                <c:pt idx="5">
                  <c:v>388</c:v>
                </c:pt>
                <c:pt idx="6">
                  <c:v>353</c:v>
                </c:pt>
                <c:pt idx="7">
                  <c:v>301</c:v>
                </c:pt>
                <c:pt idx="8">
                  <c:v>302</c:v>
                </c:pt>
                <c:pt idx="9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85-4427-B578-E1B79F04C94B}"/>
            </c:ext>
          </c:extLst>
        </c:ser>
        <c:ser>
          <c:idx val="1"/>
          <c:order val="1"/>
          <c:tx>
            <c:strRef>
              <c:f>Sayfa1!$C$1</c:f>
              <c:strCache>
                <c:ptCount val="1"/>
                <c:pt idx="0">
                  <c:v>ÜRETİLEN PARÇA SAYISI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Sayfa1!$C$2:$C$15</c:f>
              <c:numCache>
                <c:formatCode>General</c:formatCode>
                <c:ptCount val="14"/>
                <c:pt idx="0">
                  <c:v>2656</c:v>
                </c:pt>
                <c:pt idx="1">
                  <c:v>2682</c:v>
                </c:pt>
                <c:pt idx="2">
                  <c:v>2486</c:v>
                </c:pt>
                <c:pt idx="3">
                  <c:v>2635</c:v>
                </c:pt>
                <c:pt idx="4">
                  <c:v>2738</c:v>
                </c:pt>
                <c:pt idx="5">
                  <c:v>2839</c:v>
                </c:pt>
                <c:pt idx="6">
                  <c:v>2685</c:v>
                </c:pt>
                <c:pt idx="7">
                  <c:v>2086</c:v>
                </c:pt>
                <c:pt idx="8">
                  <c:v>2303</c:v>
                </c:pt>
                <c:pt idx="9">
                  <c:v>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85-4427-B578-E1B79F04C94B}"/>
            </c:ext>
          </c:extLst>
        </c:ser>
        <c:ser>
          <c:idx val="2"/>
          <c:order val="2"/>
          <c:tx>
            <c:strRef>
              <c:f>Sayfa1!$D$1</c:f>
              <c:strCache>
                <c:ptCount val="1"/>
                <c:pt idx="0">
                  <c:v>FAZLA MESAİ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Sayfa1!$D$2:$D$15</c:f>
              <c:numCache>
                <c:formatCode>General</c:formatCode>
                <c:ptCount val="14"/>
                <c:pt idx="0">
                  <c:v>39</c:v>
                </c:pt>
                <c:pt idx="1">
                  <c:v>130</c:v>
                </c:pt>
                <c:pt idx="2">
                  <c:v>95</c:v>
                </c:pt>
                <c:pt idx="3">
                  <c:v>78</c:v>
                </c:pt>
                <c:pt idx="4">
                  <c:v>60</c:v>
                </c:pt>
                <c:pt idx="5">
                  <c:v>118</c:v>
                </c:pt>
                <c:pt idx="6">
                  <c:v>83</c:v>
                </c:pt>
                <c:pt idx="7">
                  <c:v>31</c:v>
                </c:pt>
                <c:pt idx="8">
                  <c:v>32</c:v>
                </c:pt>
                <c:pt idx="9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85-4427-B578-E1B79F04C94B}"/>
            </c:ext>
          </c:extLst>
        </c:ser>
        <c:ser>
          <c:idx val="3"/>
          <c:order val="3"/>
          <c:tx>
            <c:strRef>
              <c:f>Sayfa1!$E$1</c:f>
              <c:strCache>
                <c:ptCount val="1"/>
                <c:pt idx="0">
                  <c:v>TASARRUF EDİLEN ZAMAN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Sayfa1!$E$2:$E$15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85-4427-B578-E1B79F04C94B}"/>
            </c:ext>
          </c:extLst>
        </c:ser>
        <c:ser>
          <c:idx val="5"/>
          <c:order val="5"/>
          <c:tx>
            <c:strRef>
              <c:f>Sayfa1!$G$1</c:f>
              <c:strCache>
                <c:ptCount val="1"/>
                <c:pt idx="0">
                  <c:v>Garanti Ücret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Sayfa1!$G$2:$G$15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85-4427-B578-E1B79F04C94B}"/>
            </c:ext>
          </c:extLst>
        </c:ser>
        <c:ser>
          <c:idx val="6"/>
          <c:order val="6"/>
          <c:tx>
            <c:strRef>
              <c:f>Sayfa1!$H$1</c:f>
              <c:strCache>
                <c:ptCount val="1"/>
                <c:pt idx="0">
                  <c:v>Prim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Sayfa1!$H$2:$H$15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85-4427-B578-E1B79F04C94B}"/>
            </c:ext>
          </c:extLst>
        </c:ser>
        <c:ser>
          <c:idx val="7"/>
          <c:order val="7"/>
          <c:tx>
            <c:strRef>
              <c:f>Sayfa1!$I$1</c:f>
              <c:strCache>
                <c:ptCount val="1"/>
                <c:pt idx="0">
                  <c:v>Mesai Zammı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Sayfa1!$I$2:$I$15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85-4427-B578-E1B79F04C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3493199"/>
        <c:axId val="754647871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Sayfa1!$F$1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Sayfa1!$A$2:$A$15</c15:sqref>
                        </c15:formulaRef>
                      </c:ext>
                    </c:extLst>
                    <c:strCache>
                      <c:ptCount val="14"/>
                      <c:pt idx="0">
                        <c:v>1.İşçi</c:v>
                      </c:pt>
                      <c:pt idx="1">
                        <c:v>2.İşçi</c:v>
                      </c:pt>
                      <c:pt idx="2">
                        <c:v>3.İşçi</c:v>
                      </c:pt>
                      <c:pt idx="3">
                        <c:v>4.İşçi</c:v>
                      </c:pt>
                      <c:pt idx="4">
                        <c:v>5.İşçi</c:v>
                      </c:pt>
                      <c:pt idx="5">
                        <c:v>6.İşçi</c:v>
                      </c:pt>
                      <c:pt idx="6">
                        <c:v>7.İşçi</c:v>
                      </c:pt>
                      <c:pt idx="7">
                        <c:v>8.İşçi</c:v>
                      </c:pt>
                      <c:pt idx="8">
                        <c:v>9.İşçi</c:v>
                      </c:pt>
                      <c:pt idx="9">
                        <c:v>10.İşçi</c:v>
                      </c:pt>
                      <c:pt idx="11">
                        <c:v>Standart zaman= 10dk/1parça</c:v>
                      </c:pt>
                      <c:pt idx="12">
                        <c:v>Saat ücret=10tl/saat</c:v>
                      </c:pt>
                      <c:pt idx="13">
                        <c:v>Mesai zammı=%50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Sayfa1!$F$2:$F$15</c15:sqref>
                        </c15:formulaRef>
                      </c:ext>
                    </c:extLst>
                    <c:numCache>
                      <c:formatCode>General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8085-4427-B578-E1B79F04C94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Sayfa1!$J$1</c:f>
              <c:strCache>
                <c:ptCount val="1"/>
                <c:pt idx="0">
                  <c:v>Brüt Ücret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Sayfa1!$A$2:$A$15</c:f>
              <c:strCache>
                <c:ptCount val="14"/>
                <c:pt idx="0">
                  <c:v>1.İşçi</c:v>
                </c:pt>
                <c:pt idx="1">
                  <c:v>2.İşçi</c:v>
                </c:pt>
                <c:pt idx="2">
                  <c:v>3.İşçi</c:v>
                </c:pt>
                <c:pt idx="3">
                  <c:v>4.İşçi</c:v>
                </c:pt>
                <c:pt idx="4">
                  <c:v>5.İşçi</c:v>
                </c:pt>
                <c:pt idx="5">
                  <c:v>6.İşçi</c:v>
                </c:pt>
                <c:pt idx="6">
                  <c:v>7.İşçi</c:v>
                </c:pt>
                <c:pt idx="7">
                  <c:v>8.İşçi</c:v>
                </c:pt>
                <c:pt idx="8">
                  <c:v>9.İşçi</c:v>
                </c:pt>
                <c:pt idx="9">
                  <c:v>10.İşçi</c:v>
                </c:pt>
                <c:pt idx="11">
                  <c:v>Standart zaman= 10dk/1parça</c:v>
                </c:pt>
                <c:pt idx="12">
                  <c:v>Saat ücret=10tl/saat</c:v>
                </c:pt>
                <c:pt idx="13">
                  <c:v>Mesai zammı=%50</c:v>
                </c:pt>
              </c:strCache>
            </c:strRef>
          </c:cat>
          <c:val>
            <c:numRef>
              <c:f>Sayfa1!$J$2:$J$15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85-4427-B578-E1B79F04C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493199"/>
        <c:axId val="754647871"/>
      </c:lineChart>
      <c:catAx>
        <c:axId val="10234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4647871"/>
        <c:crosses val="autoZero"/>
        <c:auto val="1"/>
        <c:lblAlgn val="ctr"/>
        <c:lblOffset val="100"/>
        <c:noMultiLvlLbl val="0"/>
      </c:catAx>
      <c:valAx>
        <c:axId val="75464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234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1190625</xdr:colOff>
      <xdr:row>12</xdr:row>
      <xdr:rowOff>0</xdr:rowOff>
    </xdr:from>
    <xdr:to>
      <xdr:col>10</xdr:col>
      <xdr:colOff>28575</xdr:colOff>
      <xdr:row>26</xdr:row>
      <xdr:rowOff>76200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5</xdr:row>
      <xdr:rowOff>104775</xdr:rowOff>
    </xdr:from>
    <xdr:to>
      <xdr:col>4</xdr:col>
      <xdr:colOff>600075</xdr:colOff>
      <xdr:row>8</xdr:row>
      <xdr:rowOff>95250</xdr:rowOff>
    </xdr:to>
    <xdr:sp macro="[0]!çalıştır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1175" y="1057275"/>
          <a:ext cx="1438275" cy="5619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400"/>
            <a:t>Programı Çalıştır</a:t>
          </a:r>
        </a:p>
      </xdr:txBody>
    </xdr:sp>
    <xdr:clientData/>
  </xdr:twoCellAnchor>
  <xdr:twoCellAnchor>
    <xdr:from>
      <xdr:col>7</xdr:col>
      <xdr:colOff>476249</xdr:colOff>
      <xdr:row>0</xdr:row>
      <xdr:rowOff>85725</xdr:rowOff>
    </xdr:from>
    <xdr:to>
      <xdr:col>11</xdr:col>
      <xdr:colOff>361950</xdr:colOff>
      <xdr:row>6</xdr:row>
      <xdr:rowOff>66675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91124" y="85725"/>
          <a:ext cx="2324101" cy="1123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Eğer türkçesini verip ingilizcesini</a:t>
          </a:r>
          <a:r>
            <a:rPr lang="tr-TR" sz="1100" baseline="0"/>
            <a:t> sormasını istersek A ile B sütununu değiştirebiliriz</a:t>
          </a:r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14</xdr:row>
          <xdr:rowOff>76200</xdr:rowOff>
        </xdr:from>
        <xdr:to>
          <xdr:col>10</xdr:col>
          <xdr:colOff>60960</xdr:colOff>
          <xdr:row>18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tr-TR" sz="2400" b="1" i="1" u="none" strike="noStrike" baseline="30000">
                  <a:solidFill>
                    <a:srgbClr val="000000"/>
                  </a:solidFill>
                  <a:latin typeface="Agency FB"/>
                </a:rPr>
                <a:t>Sisteme Giriş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M68"/>
  <sheetViews>
    <sheetView workbookViewId="0">
      <selection activeCell="C22" sqref="C22"/>
    </sheetView>
  </sheetViews>
  <sheetFormatPr defaultRowHeight="14.4" x14ac:dyDescent="0.3"/>
  <cols>
    <col min="1" max="1" width="27.33203125" bestFit="1" customWidth="1"/>
    <col min="2" max="2" width="20" bestFit="1" customWidth="1"/>
    <col min="3" max="3" width="22" bestFit="1" customWidth="1"/>
    <col min="4" max="4" width="12.44140625" bestFit="1" customWidth="1"/>
    <col min="5" max="5" width="24.33203125" bestFit="1" customWidth="1"/>
    <col min="6" max="7" width="12.5546875" bestFit="1" customWidth="1"/>
    <col min="8" max="8" width="12" bestFit="1" customWidth="1"/>
    <col min="9" max="9" width="12.5546875" bestFit="1" customWidth="1"/>
    <col min="10" max="10" width="12" bestFit="1" customWidth="1"/>
    <col min="13" max="13" width="12.5546875" bestFit="1" customWidth="1"/>
    <col min="14" max="14" width="9.88671875" bestFit="1" customWidth="1"/>
  </cols>
  <sheetData>
    <row r="1" spans="1:10" x14ac:dyDescent="0.3">
      <c r="B1" t="s">
        <v>32</v>
      </c>
      <c r="C1" t="s">
        <v>33</v>
      </c>
      <c r="D1" t="s">
        <v>34</v>
      </c>
      <c r="E1" t="s">
        <v>41</v>
      </c>
      <c r="G1" t="s">
        <v>38</v>
      </c>
      <c r="H1" t="s">
        <v>39</v>
      </c>
      <c r="I1" t="s">
        <v>40</v>
      </c>
      <c r="J1" t="s">
        <v>42</v>
      </c>
    </row>
    <row r="2" spans="1:10" x14ac:dyDescent="0.3">
      <c r="A2" t="s">
        <v>22</v>
      </c>
      <c r="B2">
        <v>309</v>
      </c>
      <c r="C2">
        <v>2656</v>
      </c>
      <c r="D2">
        <v>39</v>
      </c>
      <c r="E2" t="e">
        <f ca="1">tasarruf_edilen_zaman(C2,B2)</f>
        <v>#NAME?</v>
      </c>
      <c r="G2" t="e">
        <f t="shared" ref="G2:G11" ca="1" si="0">garanti_ücret(B2)</f>
        <v>#NAME?</v>
      </c>
      <c r="H2" t="e">
        <f t="shared" ref="H2:H11" ca="1" si="1">prim(E2)</f>
        <v>#NAME?</v>
      </c>
      <c r="I2" t="e">
        <f t="shared" ref="I2:I11" ca="1" si="2">mesai_zammı(D2)</f>
        <v>#NAME?</v>
      </c>
      <c r="J2" t="e">
        <f ca="1">SUM(G2,H2,I2)</f>
        <v>#NAME?</v>
      </c>
    </row>
    <row r="3" spans="1:10" x14ac:dyDescent="0.3">
      <c r="A3" t="s">
        <v>23</v>
      </c>
      <c r="B3">
        <v>400</v>
      </c>
      <c r="C3">
        <v>2682</v>
      </c>
      <c r="D3">
        <v>130</v>
      </c>
      <c r="E3" t="e">
        <f t="shared" ref="E3:E11" ca="1" si="3">tasarruf_edilen_zaman(C3,B3)</f>
        <v>#NAME?</v>
      </c>
      <c r="G3" t="e">
        <f t="shared" ca="1" si="0"/>
        <v>#NAME?</v>
      </c>
      <c r="H3" t="e">
        <f t="shared" ca="1" si="1"/>
        <v>#NAME?</v>
      </c>
      <c r="I3" t="e">
        <f t="shared" ca="1" si="2"/>
        <v>#NAME?</v>
      </c>
      <c r="J3" t="e">
        <f t="shared" ref="J3:J11" ca="1" si="4">SUM(G3,H3,I3)</f>
        <v>#NAME?</v>
      </c>
    </row>
    <row r="4" spans="1:10" x14ac:dyDescent="0.3">
      <c r="A4" t="s">
        <v>24</v>
      </c>
      <c r="B4">
        <v>365</v>
      </c>
      <c r="C4">
        <v>2486</v>
      </c>
      <c r="D4">
        <v>95</v>
      </c>
      <c r="E4" t="e">
        <f t="shared" ca="1" si="3"/>
        <v>#NAME?</v>
      </c>
      <c r="G4" t="e">
        <f t="shared" ca="1" si="0"/>
        <v>#NAME?</v>
      </c>
      <c r="H4" t="e">
        <f t="shared" ca="1" si="1"/>
        <v>#NAME?</v>
      </c>
      <c r="I4" t="e">
        <f t="shared" ca="1" si="2"/>
        <v>#NAME?</v>
      </c>
      <c r="J4" t="e">
        <f t="shared" ca="1" si="4"/>
        <v>#NAME?</v>
      </c>
    </row>
    <row r="5" spans="1:10" x14ac:dyDescent="0.3">
      <c r="A5" t="s">
        <v>25</v>
      </c>
      <c r="B5">
        <v>348</v>
      </c>
      <c r="C5">
        <v>2635</v>
      </c>
      <c r="D5">
        <v>78</v>
      </c>
      <c r="E5" t="e">
        <f t="shared" ca="1" si="3"/>
        <v>#NAME?</v>
      </c>
      <c r="G5" t="e">
        <f t="shared" ca="1" si="0"/>
        <v>#NAME?</v>
      </c>
      <c r="H5" t="e">
        <f t="shared" ca="1" si="1"/>
        <v>#NAME?</v>
      </c>
      <c r="I5" t="e">
        <f t="shared" ca="1" si="2"/>
        <v>#NAME?</v>
      </c>
      <c r="J5" t="e">
        <f t="shared" ca="1" si="4"/>
        <v>#NAME?</v>
      </c>
    </row>
    <row r="6" spans="1:10" x14ac:dyDescent="0.3">
      <c r="A6" t="s">
        <v>26</v>
      </c>
      <c r="B6">
        <v>330</v>
      </c>
      <c r="C6">
        <v>2738</v>
      </c>
      <c r="D6">
        <v>60</v>
      </c>
      <c r="E6" t="e">
        <f t="shared" ca="1" si="3"/>
        <v>#NAME?</v>
      </c>
      <c r="G6" t="e">
        <f t="shared" ca="1" si="0"/>
        <v>#NAME?</v>
      </c>
      <c r="H6" t="e">
        <f t="shared" ca="1" si="1"/>
        <v>#NAME?</v>
      </c>
      <c r="I6" t="e">
        <f t="shared" ca="1" si="2"/>
        <v>#NAME?</v>
      </c>
      <c r="J6" t="e">
        <f t="shared" ca="1" si="4"/>
        <v>#NAME?</v>
      </c>
    </row>
    <row r="7" spans="1:10" x14ac:dyDescent="0.3">
      <c r="A7" t="s">
        <v>27</v>
      </c>
      <c r="B7">
        <v>388</v>
      </c>
      <c r="C7">
        <v>2839</v>
      </c>
      <c r="D7">
        <v>118</v>
      </c>
      <c r="E7" t="e">
        <f t="shared" ca="1" si="3"/>
        <v>#NAME?</v>
      </c>
      <c r="G7" t="e">
        <f t="shared" ca="1" si="0"/>
        <v>#NAME?</v>
      </c>
      <c r="H7" t="e">
        <f t="shared" ca="1" si="1"/>
        <v>#NAME?</v>
      </c>
      <c r="I7" t="e">
        <f t="shared" ca="1" si="2"/>
        <v>#NAME?</v>
      </c>
      <c r="J7" t="e">
        <f t="shared" ca="1" si="4"/>
        <v>#NAME?</v>
      </c>
    </row>
    <row r="8" spans="1:10" x14ac:dyDescent="0.3">
      <c r="A8" t="s">
        <v>28</v>
      </c>
      <c r="B8">
        <v>353</v>
      </c>
      <c r="C8">
        <v>2685</v>
      </c>
      <c r="D8">
        <v>83</v>
      </c>
      <c r="E8" t="e">
        <f t="shared" ca="1" si="3"/>
        <v>#NAME?</v>
      </c>
      <c r="G8" t="e">
        <f t="shared" ca="1" si="0"/>
        <v>#NAME?</v>
      </c>
      <c r="H8" t="e">
        <f t="shared" ca="1" si="1"/>
        <v>#NAME?</v>
      </c>
      <c r="I8" t="e">
        <f t="shared" ca="1" si="2"/>
        <v>#NAME?</v>
      </c>
      <c r="J8" t="e">
        <f t="shared" ca="1" si="4"/>
        <v>#NAME?</v>
      </c>
    </row>
    <row r="9" spans="1:10" x14ac:dyDescent="0.3">
      <c r="A9" t="s">
        <v>29</v>
      </c>
      <c r="B9">
        <v>301</v>
      </c>
      <c r="C9">
        <v>2086</v>
      </c>
      <c r="D9">
        <v>31</v>
      </c>
      <c r="E9" t="e">
        <f t="shared" ca="1" si="3"/>
        <v>#NAME?</v>
      </c>
      <c r="G9" t="e">
        <f t="shared" ca="1" si="0"/>
        <v>#NAME?</v>
      </c>
      <c r="H9" t="e">
        <f t="shared" ca="1" si="1"/>
        <v>#NAME?</v>
      </c>
      <c r="I9" t="e">
        <f t="shared" ca="1" si="2"/>
        <v>#NAME?</v>
      </c>
      <c r="J9" t="e">
        <f t="shared" ca="1" si="4"/>
        <v>#NAME?</v>
      </c>
    </row>
    <row r="10" spans="1:10" x14ac:dyDescent="0.3">
      <c r="A10" t="s">
        <v>30</v>
      </c>
      <c r="B10">
        <v>302</v>
      </c>
      <c r="C10">
        <v>2303</v>
      </c>
      <c r="D10">
        <v>32</v>
      </c>
      <c r="E10" t="e">
        <f t="shared" ca="1" si="3"/>
        <v>#NAME?</v>
      </c>
      <c r="G10" t="e">
        <f t="shared" ca="1" si="0"/>
        <v>#NAME?</v>
      </c>
      <c r="H10" t="e">
        <f t="shared" ca="1" si="1"/>
        <v>#NAME?</v>
      </c>
      <c r="I10" t="e">
        <f t="shared" ca="1" si="2"/>
        <v>#NAME?</v>
      </c>
      <c r="J10" t="e">
        <f t="shared" ca="1" si="4"/>
        <v>#NAME?</v>
      </c>
    </row>
    <row r="11" spans="1:10" x14ac:dyDescent="0.3">
      <c r="A11" t="s">
        <v>31</v>
      </c>
      <c r="B11">
        <v>367</v>
      </c>
      <c r="C11">
        <v>2964</v>
      </c>
      <c r="D11">
        <v>97</v>
      </c>
      <c r="E11" t="e">
        <f t="shared" ca="1" si="3"/>
        <v>#NAME?</v>
      </c>
      <c r="G11" t="e">
        <f t="shared" ca="1" si="0"/>
        <v>#NAME?</v>
      </c>
      <c r="H11" t="e">
        <f t="shared" ca="1" si="1"/>
        <v>#NAME?</v>
      </c>
      <c r="I11" t="e">
        <f t="shared" ca="1" si="2"/>
        <v>#NAME?</v>
      </c>
      <c r="J11" t="e">
        <f t="shared" ca="1" si="4"/>
        <v>#NAME?</v>
      </c>
    </row>
    <row r="13" spans="1:10" x14ac:dyDescent="0.3">
      <c r="A13" t="s">
        <v>35</v>
      </c>
    </row>
    <row r="14" spans="1:10" x14ac:dyDescent="0.3">
      <c r="A14" t="s">
        <v>36</v>
      </c>
    </row>
    <row r="15" spans="1:10" x14ac:dyDescent="0.3">
      <c r="A15" t="s">
        <v>37</v>
      </c>
    </row>
    <row r="49" spans="1:13" x14ac:dyDescent="0.3">
      <c r="B49" t="s">
        <v>0</v>
      </c>
      <c r="D49">
        <v>96</v>
      </c>
      <c r="E49">
        <v>1</v>
      </c>
      <c r="F49">
        <v>1</v>
      </c>
      <c r="G49">
        <v>2</v>
      </c>
      <c r="H49">
        <v>1</v>
      </c>
      <c r="J49">
        <v>1</v>
      </c>
      <c r="K49" t="s">
        <v>2</v>
      </c>
      <c r="M49">
        <v>1</v>
      </c>
    </row>
    <row r="50" spans="1:13" x14ac:dyDescent="0.3">
      <c r="B50" t="s">
        <v>0</v>
      </c>
      <c r="D50">
        <v>61</v>
      </c>
      <c r="E50">
        <v>2</v>
      </c>
      <c r="F50">
        <v>4</v>
      </c>
      <c r="G50">
        <v>3</v>
      </c>
      <c r="H50">
        <v>2</v>
      </c>
      <c r="J50">
        <v>5</v>
      </c>
      <c r="K50" t="s">
        <v>3</v>
      </c>
      <c r="M50">
        <v>1</v>
      </c>
    </row>
    <row r="51" spans="1:13" x14ac:dyDescent="0.3">
      <c r="B51" t="s">
        <v>1</v>
      </c>
      <c r="D51">
        <v>85</v>
      </c>
      <c r="E51">
        <v>3</v>
      </c>
      <c r="F51">
        <v>9</v>
      </c>
      <c r="G51">
        <v>1</v>
      </c>
      <c r="H51">
        <v>3</v>
      </c>
      <c r="J51">
        <v>9</v>
      </c>
      <c r="K51" t="s">
        <v>4</v>
      </c>
      <c r="M51">
        <v>2</v>
      </c>
    </row>
    <row r="52" spans="1:13" x14ac:dyDescent="0.3">
      <c r="B52" t="s">
        <v>1</v>
      </c>
      <c r="D52">
        <v>99</v>
      </c>
      <c r="E52">
        <v>4</v>
      </c>
      <c r="F52">
        <v>16</v>
      </c>
      <c r="G52">
        <v>7</v>
      </c>
      <c r="H52">
        <v>4</v>
      </c>
      <c r="J52">
        <v>4</v>
      </c>
      <c r="K52" t="s">
        <v>5</v>
      </c>
      <c r="M52">
        <v>3</v>
      </c>
    </row>
    <row r="53" spans="1:13" x14ac:dyDescent="0.3">
      <c r="B53" t="s">
        <v>0</v>
      </c>
      <c r="D53">
        <v>62</v>
      </c>
      <c r="E53">
        <v>5</v>
      </c>
      <c r="F53">
        <v>25</v>
      </c>
      <c r="G53">
        <v>6</v>
      </c>
      <c r="H53">
        <v>5</v>
      </c>
      <c r="J53">
        <v>4</v>
      </c>
      <c r="K53" t="s">
        <v>6</v>
      </c>
      <c r="M53">
        <v>5</v>
      </c>
    </row>
    <row r="54" spans="1:13" x14ac:dyDescent="0.3">
      <c r="B54" t="s">
        <v>1</v>
      </c>
      <c r="D54">
        <v>77</v>
      </c>
      <c r="E54">
        <v>6</v>
      </c>
      <c r="F54">
        <v>36</v>
      </c>
      <c r="G54">
        <v>6</v>
      </c>
      <c r="H54">
        <v>6</v>
      </c>
      <c r="J54">
        <v>8</v>
      </c>
      <c r="K54" t="s">
        <v>7</v>
      </c>
      <c r="M54">
        <v>8</v>
      </c>
    </row>
    <row r="55" spans="1:13" x14ac:dyDescent="0.3">
      <c r="B55" t="s">
        <v>0</v>
      </c>
      <c r="D55">
        <v>55</v>
      </c>
      <c r="E55">
        <v>7</v>
      </c>
      <c r="F55">
        <v>49</v>
      </c>
      <c r="G55">
        <v>3</v>
      </c>
      <c r="H55">
        <v>7</v>
      </c>
      <c r="J55">
        <v>1</v>
      </c>
      <c r="K55" t="s">
        <v>8</v>
      </c>
      <c r="M55">
        <v>13</v>
      </c>
    </row>
    <row r="56" spans="1:13" x14ac:dyDescent="0.3">
      <c r="B56" t="s">
        <v>0</v>
      </c>
      <c r="D56">
        <v>100</v>
      </c>
      <c r="E56">
        <v>8</v>
      </c>
      <c r="F56">
        <v>64</v>
      </c>
      <c r="G56">
        <v>5</v>
      </c>
      <c r="H56">
        <v>8</v>
      </c>
      <c r="J56">
        <v>8</v>
      </c>
      <c r="K56" t="s">
        <v>9</v>
      </c>
      <c r="M56">
        <v>21</v>
      </c>
    </row>
    <row r="57" spans="1:13" x14ac:dyDescent="0.3">
      <c r="B57" t="s">
        <v>1</v>
      </c>
      <c r="D57">
        <v>84</v>
      </c>
      <c r="E57">
        <v>9</v>
      </c>
      <c r="F57">
        <v>81</v>
      </c>
      <c r="G57">
        <v>8</v>
      </c>
      <c r="H57">
        <v>9</v>
      </c>
      <c r="J57">
        <v>8</v>
      </c>
      <c r="K57" t="s">
        <v>10</v>
      </c>
      <c r="M57">
        <v>34</v>
      </c>
    </row>
    <row r="58" spans="1:13" x14ac:dyDescent="0.3">
      <c r="B58" t="s">
        <v>0</v>
      </c>
      <c r="D58">
        <v>51</v>
      </c>
      <c r="E58">
        <v>10</v>
      </c>
      <c r="F58">
        <v>100</v>
      </c>
      <c r="G58">
        <v>8</v>
      </c>
      <c r="H58">
        <v>10</v>
      </c>
      <c r="J58">
        <v>7</v>
      </c>
      <c r="K58" t="s">
        <v>11</v>
      </c>
      <c r="M58">
        <v>55</v>
      </c>
    </row>
    <row r="59" spans="1:13" x14ac:dyDescent="0.3">
      <c r="A59">
        <v>4</v>
      </c>
      <c r="K59" t="s">
        <v>12</v>
      </c>
      <c r="M59">
        <v>89</v>
      </c>
    </row>
    <row r="60" spans="1:13" x14ac:dyDescent="0.3">
      <c r="A60">
        <v>4</v>
      </c>
      <c r="K60" t="s">
        <v>13</v>
      </c>
      <c r="M60">
        <v>144</v>
      </c>
    </row>
    <row r="61" spans="1:13" x14ac:dyDescent="0.3">
      <c r="A61">
        <v>7</v>
      </c>
      <c r="K61" t="s">
        <v>14</v>
      </c>
      <c r="M61">
        <v>233</v>
      </c>
    </row>
    <row r="62" spans="1:13" x14ac:dyDescent="0.3">
      <c r="A62">
        <v>1</v>
      </c>
      <c r="K62" t="s">
        <v>15</v>
      </c>
      <c r="M62">
        <v>377</v>
      </c>
    </row>
    <row r="63" spans="1:13" x14ac:dyDescent="0.3">
      <c r="A63">
        <v>6</v>
      </c>
      <c r="K63" t="s">
        <v>16</v>
      </c>
      <c r="M63">
        <v>610</v>
      </c>
    </row>
    <row r="64" spans="1:13" x14ac:dyDescent="0.3">
      <c r="A64">
        <v>57889</v>
      </c>
      <c r="K64" t="s">
        <v>17</v>
      </c>
      <c r="M64">
        <v>987</v>
      </c>
    </row>
    <row r="65" spans="1:13" x14ac:dyDescent="0.3">
      <c r="A65">
        <v>6</v>
      </c>
      <c r="K65" t="s">
        <v>18</v>
      </c>
      <c r="M65">
        <v>1597</v>
      </c>
    </row>
    <row r="66" spans="1:13" x14ac:dyDescent="0.3">
      <c r="A66">
        <v>454</v>
      </c>
      <c r="K66" t="s">
        <v>19</v>
      </c>
      <c r="M66">
        <v>2584</v>
      </c>
    </row>
    <row r="67" spans="1:13" x14ac:dyDescent="0.3">
      <c r="A67">
        <v>68751</v>
      </c>
      <c r="K67" t="s">
        <v>20</v>
      </c>
      <c r="M67">
        <v>4181</v>
      </c>
    </row>
    <row r="68" spans="1:13" x14ac:dyDescent="0.3">
      <c r="A68">
        <v>54</v>
      </c>
      <c r="K68" t="s">
        <v>21</v>
      </c>
      <c r="M68">
        <v>6765</v>
      </c>
    </row>
  </sheetData>
  <phoneticPr fontId="1" type="noConversion"/>
  <conditionalFormatting sqref="B2:J11">
    <cfRule type="top10" dxfId="0" priority="1" percent="1" rank="10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G10"/>
  <sheetViews>
    <sheetView workbookViewId="0">
      <selection activeCell="A4" sqref="A4"/>
    </sheetView>
  </sheetViews>
  <sheetFormatPr defaultRowHeight="14.4" x14ac:dyDescent="0.3"/>
  <cols>
    <col min="1" max="1" width="19.33203125" bestFit="1" customWidth="1"/>
    <col min="2" max="2" width="25.109375" bestFit="1" customWidth="1"/>
    <col min="6" max="6" width="13.109375" bestFit="1" customWidth="1"/>
  </cols>
  <sheetData>
    <row r="1" spans="1:7" x14ac:dyDescent="0.3">
      <c r="A1" t="s">
        <v>66</v>
      </c>
      <c r="B1" t="s">
        <v>59</v>
      </c>
      <c r="F1" t="s">
        <v>43</v>
      </c>
      <c r="G1" s="1">
        <f>COUNTA(A:A)</f>
        <v>8</v>
      </c>
    </row>
    <row r="2" spans="1:7" x14ac:dyDescent="0.3">
      <c r="A2" t="s">
        <v>60</v>
      </c>
      <c r="B2" t="s">
        <v>61</v>
      </c>
    </row>
    <row r="3" spans="1:7" x14ac:dyDescent="0.3">
      <c r="A3" t="s">
        <v>62</v>
      </c>
      <c r="B3" t="s">
        <v>63</v>
      </c>
    </row>
    <row r="5" spans="1:7" x14ac:dyDescent="0.3">
      <c r="A5" t="s">
        <v>65</v>
      </c>
      <c r="B5" t="s">
        <v>64</v>
      </c>
    </row>
    <row r="7" spans="1:7" x14ac:dyDescent="0.3">
      <c r="A7" t="s">
        <v>67</v>
      </c>
      <c r="B7" t="s">
        <v>68</v>
      </c>
    </row>
    <row r="8" spans="1:7" x14ac:dyDescent="0.3">
      <c r="A8" t="s">
        <v>69</v>
      </c>
      <c r="B8" t="s">
        <v>70</v>
      </c>
    </row>
    <row r="9" spans="1:7" x14ac:dyDescent="0.3">
      <c r="A9" t="s">
        <v>71</v>
      </c>
      <c r="B9" t="s">
        <v>72</v>
      </c>
    </row>
    <row r="10" spans="1:7" x14ac:dyDescent="0.3">
      <c r="A10" t="s">
        <v>73</v>
      </c>
      <c r="B10" t="s">
        <v>74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C109"/>
  <sheetViews>
    <sheetView showGridLines="0" tabSelected="1" topLeftCell="A9" workbookViewId="0">
      <selection activeCell="S39" sqref="S39"/>
    </sheetView>
  </sheetViews>
  <sheetFormatPr defaultRowHeight="14.4" x14ac:dyDescent="0.3"/>
  <cols>
    <col min="1" max="1" width="17.33203125" style="10" customWidth="1"/>
    <col min="2" max="2" width="33.5546875" style="1" customWidth="1"/>
    <col min="3" max="3" width="13.44140625" style="1" customWidth="1"/>
    <col min="4" max="16384" width="8.88671875" style="1"/>
  </cols>
  <sheetData>
    <row r="1" spans="1:3" ht="15" hidden="1" thickBot="1" x14ac:dyDescent="0.35">
      <c r="A1" s="8"/>
      <c r="B1" s="2"/>
      <c r="C1" s="3"/>
    </row>
    <row r="2" spans="1:3" ht="15" hidden="1" thickBot="1" x14ac:dyDescent="0.35">
      <c r="A2" s="9"/>
      <c r="C2" s="4"/>
    </row>
    <row r="3" spans="1:3" ht="15" hidden="1" thickBot="1" x14ac:dyDescent="0.35">
      <c r="A3" s="9"/>
      <c r="C3" s="4"/>
    </row>
    <row r="4" spans="1:3" ht="15" hidden="1" thickBot="1" x14ac:dyDescent="0.35">
      <c r="A4" s="9"/>
      <c r="C4" s="4"/>
    </row>
    <row r="5" spans="1:3" ht="15" hidden="1" thickBot="1" x14ac:dyDescent="0.35">
      <c r="A5" s="9"/>
      <c r="C5" s="4"/>
    </row>
    <row r="6" spans="1:3" ht="15" hidden="1" thickBot="1" x14ac:dyDescent="0.35">
      <c r="A6" s="9"/>
      <c r="C6" s="4"/>
    </row>
    <row r="7" spans="1:3" ht="15" hidden="1" thickBot="1" x14ac:dyDescent="0.35">
      <c r="A7" s="9"/>
      <c r="C7" s="4"/>
    </row>
    <row r="8" spans="1:3" ht="15" hidden="1" thickBot="1" x14ac:dyDescent="0.35">
      <c r="A8" s="9"/>
      <c r="C8" s="4"/>
    </row>
    <row r="9" spans="1:3" s="7" customFormat="1" ht="25.8" x14ac:dyDescent="0.5">
      <c r="A9" s="21" t="s">
        <v>44</v>
      </c>
      <c r="B9" s="22" t="s">
        <v>45</v>
      </c>
      <c r="C9" s="23" t="s">
        <v>46</v>
      </c>
    </row>
    <row r="10" spans="1:3" x14ac:dyDescent="0.3">
      <c r="A10" s="16" t="s">
        <v>47</v>
      </c>
      <c r="B10" s="17" t="s">
        <v>75</v>
      </c>
      <c r="C10" s="24" t="s">
        <v>84</v>
      </c>
    </row>
    <row r="11" spans="1:3" x14ac:dyDescent="0.3">
      <c r="A11" s="16" t="s">
        <v>48</v>
      </c>
      <c r="B11" s="17" t="s">
        <v>76</v>
      </c>
      <c r="C11" s="24"/>
    </row>
    <row r="12" spans="1:3" x14ac:dyDescent="0.3">
      <c r="A12" s="16" t="s">
        <v>49</v>
      </c>
      <c r="B12" s="17" t="s">
        <v>77</v>
      </c>
      <c r="C12" s="24"/>
    </row>
    <row r="13" spans="1:3" x14ac:dyDescent="0.3">
      <c r="A13" s="16" t="s">
        <v>50</v>
      </c>
      <c r="B13" s="17" t="s">
        <v>81</v>
      </c>
      <c r="C13" s="24"/>
    </row>
    <row r="14" spans="1:3" x14ac:dyDescent="0.3">
      <c r="A14" s="16" t="s">
        <v>51</v>
      </c>
      <c r="B14" s="17" t="s">
        <v>78</v>
      </c>
      <c r="C14" s="24"/>
    </row>
    <row r="15" spans="1:3" x14ac:dyDescent="0.3">
      <c r="A15" s="16" t="s">
        <v>52</v>
      </c>
      <c r="B15" s="17" t="s">
        <v>79</v>
      </c>
      <c r="C15" s="24"/>
    </row>
    <row r="16" spans="1:3" x14ac:dyDescent="0.3">
      <c r="A16" s="16" t="s">
        <v>53</v>
      </c>
      <c r="B16" s="17" t="s">
        <v>82</v>
      </c>
      <c r="C16" s="24"/>
    </row>
    <row r="17" spans="1:3" x14ac:dyDescent="0.3">
      <c r="A17" s="16" t="s">
        <v>54</v>
      </c>
      <c r="B17" s="18" t="s">
        <v>83</v>
      </c>
      <c r="C17" s="24"/>
    </row>
    <row r="18" spans="1:3" x14ac:dyDescent="0.3">
      <c r="A18" s="16" t="s">
        <v>55</v>
      </c>
      <c r="B18" s="17" t="s">
        <v>93</v>
      </c>
      <c r="C18" s="24"/>
    </row>
    <row r="19" spans="1:3" ht="15" thickBot="1" x14ac:dyDescent="0.35">
      <c r="A19" s="19" t="s">
        <v>56</v>
      </c>
      <c r="B19" s="20" t="s">
        <v>80</v>
      </c>
      <c r="C19" s="25"/>
    </row>
    <row r="20" spans="1:3" ht="14.4" customHeight="1" x14ac:dyDescent="0.3">
      <c r="A20" s="11" t="s">
        <v>47</v>
      </c>
      <c r="B20" s="12" t="s">
        <v>94</v>
      </c>
      <c r="C20" s="26" t="s">
        <v>85</v>
      </c>
    </row>
    <row r="21" spans="1:3" x14ac:dyDescent="0.3">
      <c r="A21" s="13" t="s">
        <v>48</v>
      </c>
      <c r="B21" s="5" t="s">
        <v>99</v>
      </c>
      <c r="C21" s="26"/>
    </row>
    <row r="22" spans="1:3" x14ac:dyDescent="0.3">
      <c r="A22" s="13" t="s">
        <v>49</v>
      </c>
      <c r="B22" s="5" t="s">
        <v>100</v>
      </c>
      <c r="C22" s="26"/>
    </row>
    <row r="23" spans="1:3" x14ac:dyDescent="0.3">
      <c r="A23" s="13" t="s">
        <v>50</v>
      </c>
      <c r="B23" s="5" t="s">
        <v>95</v>
      </c>
      <c r="C23" s="26"/>
    </row>
    <row r="24" spans="1:3" x14ac:dyDescent="0.3">
      <c r="A24" s="13" t="s">
        <v>51</v>
      </c>
      <c r="B24" s="5" t="s">
        <v>96</v>
      </c>
      <c r="C24" s="26"/>
    </row>
    <row r="25" spans="1:3" x14ac:dyDescent="0.3">
      <c r="A25" s="13" t="s">
        <v>52</v>
      </c>
      <c r="B25" s="5" t="s">
        <v>97</v>
      </c>
      <c r="C25" s="26"/>
    </row>
    <row r="26" spans="1:3" x14ac:dyDescent="0.3">
      <c r="A26" s="13" t="s">
        <v>53</v>
      </c>
      <c r="B26" s="5" t="s">
        <v>101</v>
      </c>
      <c r="C26" s="26"/>
    </row>
    <row r="27" spans="1:3" x14ac:dyDescent="0.3">
      <c r="A27" s="13" t="s">
        <v>54</v>
      </c>
      <c r="B27" s="6" t="s">
        <v>98</v>
      </c>
      <c r="C27" s="26"/>
    </row>
    <row r="28" spans="1:3" x14ac:dyDescent="0.3">
      <c r="A28" s="13" t="s">
        <v>55</v>
      </c>
      <c r="B28" s="5" t="s">
        <v>93</v>
      </c>
      <c r="C28" s="26"/>
    </row>
    <row r="29" spans="1:3" ht="15" thickBot="1" x14ac:dyDescent="0.35">
      <c r="A29" s="14" t="s">
        <v>56</v>
      </c>
      <c r="B29" s="15" t="s">
        <v>102</v>
      </c>
      <c r="C29" s="27"/>
    </row>
    <row r="30" spans="1:3" ht="14.4" customHeight="1" x14ac:dyDescent="0.3">
      <c r="A30" s="16" t="s">
        <v>47</v>
      </c>
      <c r="B30" s="17"/>
      <c r="C30" s="24" t="s">
        <v>86</v>
      </c>
    </row>
    <row r="31" spans="1:3" x14ac:dyDescent="0.3">
      <c r="A31" s="16" t="s">
        <v>48</v>
      </c>
      <c r="B31" s="17"/>
      <c r="C31" s="24"/>
    </row>
    <row r="32" spans="1:3" x14ac:dyDescent="0.3">
      <c r="A32" s="16" t="s">
        <v>49</v>
      </c>
      <c r="B32" s="17"/>
      <c r="C32" s="24"/>
    </row>
    <row r="33" spans="1:3" x14ac:dyDescent="0.3">
      <c r="A33" s="16" t="s">
        <v>50</v>
      </c>
      <c r="B33" s="17"/>
      <c r="C33" s="24"/>
    </row>
    <row r="34" spans="1:3" x14ac:dyDescent="0.3">
      <c r="A34" s="16" t="s">
        <v>51</v>
      </c>
      <c r="B34" s="17"/>
      <c r="C34" s="24"/>
    </row>
    <row r="35" spans="1:3" x14ac:dyDescent="0.3">
      <c r="A35" s="16" t="s">
        <v>52</v>
      </c>
      <c r="B35" s="17"/>
      <c r="C35" s="24"/>
    </row>
    <row r="36" spans="1:3" x14ac:dyDescent="0.3">
      <c r="A36" s="16" t="s">
        <v>53</v>
      </c>
      <c r="B36" s="17"/>
      <c r="C36" s="24"/>
    </row>
    <row r="37" spans="1:3" x14ac:dyDescent="0.3">
      <c r="A37" s="16" t="s">
        <v>54</v>
      </c>
      <c r="B37" s="18"/>
      <c r="C37" s="24"/>
    </row>
    <row r="38" spans="1:3" x14ac:dyDescent="0.3">
      <c r="A38" s="16" t="s">
        <v>55</v>
      </c>
      <c r="B38" s="17"/>
      <c r="C38" s="24"/>
    </row>
    <row r="39" spans="1:3" ht="15" thickBot="1" x14ac:dyDescent="0.35">
      <c r="A39" s="19" t="s">
        <v>56</v>
      </c>
      <c r="B39" s="20"/>
      <c r="C39" s="25"/>
    </row>
    <row r="40" spans="1:3" ht="14.4" customHeight="1" x14ac:dyDescent="0.3">
      <c r="A40" s="11" t="s">
        <v>47</v>
      </c>
      <c r="B40" s="12"/>
      <c r="C40" s="26" t="s">
        <v>87</v>
      </c>
    </row>
    <row r="41" spans="1:3" x14ac:dyDescent="0.3">
      <c r="A41" s="13" t="s">
        <v>48</v>
      </c>
      <c r="B41" s="5"/>
      <c r="C41" s="26"/>
    </row>
    <row r="42" spans="1:3" x14ac:dyDescent="0.3">
      <c r="A42" s="13" t="s">
        <v>49</v>
      </c>
      <c r="B42" s="5"/>
      <c r="C42" s="26"/>
    </row>
    <row r="43" spans="1:3" x14ac:dyDescent="0.3">
      <c r="A43" s="13" t="s">
        <v>50</v>
      </c>
      <c r="B43" s="5"/>
      <c r="C43" s="26"/>
    </row>
    <row r="44" spans="1:3" x14ac:dyDescent="0.3">
      <c r="A44" s="13" t="s">
        <v>51</v>
      </c>
      <c r="B44" s="5"/>
      <c r="C44" s="26"/>
    </row>
    <row r="45" spans="1:3" x14ac:dyDescent="0.3">
      <c r="A45" s="13" t="s">
        <v>52</v>
      </c>
      <c r="B45" s="5"/>
      <c r="C45" s="26"/>
    </row>
    <row r="46" spans="1:3" x14ac:dyDescent="0.3">
      <c r="A46" s="13" t="s">
        <v>53</v>
      </c>
      <c r="B46" s="5"/>
      <c r="C46" s="26"/>
    </row>
    <row r="47" spans="1:3" x14ac:dyDescent="0.3">
      <c r="A47" s="13" t="s">
        <v>54</v>
      </c>
      <c r="B47" s="6"/>
      <c r="C47" s="26"/>
    </row>
    <row r="48" spans="1:3" x14ac:dyDescent="0.3">
      <c r="A48" s="13" t="s">
        <v>55</v>
      </c>
      <c r="B48" s="5"/>
      <c r="C48" s="26"/>
    </row>
    <row r="49" spans="1:3" ht="15" thickBot="1" x14ac:dyDescent="0.35">
      <c r="A49" s="14" t="s">
        <v>56</v>
      </c>
      <c r="B49" s="15"/>
      <c r="C49" s="27"/>
    </row>
    <row r="50" spans="1:3" ht="14.4" customHeight="1" x14ac:dyDescent="0.3">
      <c r="A50" s="16" t="s">
        <v>47</v>
      </c>
      <c r="B50" s="17"/>
      <c r="C50" s="24" t="s">
        <v>88</v>
      </c>
    </row>
    <row r="51" spans="1:3" x14ac:dyDescent="0.3">
      <c r="A51" s="16" t="s">
        <v>48</v>
      </c>
      <c r="B51" s="17"/>
      <c r="C51" s="24"/>
    </row>
    <row r="52" spans="1:3" x14ac:dyDescent="0.3">
      <c r="A52" s="16" t="s">
        <v>49</v>
      </c>
      <c r="B52" s="17"/>
      <c r="C52" s="24"/>
    </row>
    <row r="53" spans="1:3" x14ac:dyDescent="0.3">
      <c r="A53" s="16" t="s">
        <v>50</v>
      </c>
      <c r="B53" s="17"/>
      <c r="C53" s="24"/>
    </row>
    <row r="54" spans="1:3" x14ac:dyDescent="0.3">
      <c r="A54" s="16" t="s">
        <v>51</v>
      </c>
      <c r="B54" s="17"/>
      <c r="C54" s="24"/>
    </row>
    <row r="55" spans="1:3" x14ac:dyDescent="0.3">
      <c r="A55" s="16" t="s">
        <v>52</v>
      </c>
      <c r="B55" s="17"/>
      <c r="C55" s="24"/>
    </row>
    <row r="56" spans="1:3" x14ac:dyDescent="0.3">
      <c r="A56" s="16" t="s">
        <v>53</v>
      </c>
      <c r="B56" s="17"/>
      <c r="C56" s="24"/>
    </row>
    <row r="57" spans="1:3" x14ac:dyDescent="0.3">
      <c r="A57" s="16" t="s">
        <v>54</v>
      </c>
      <c r="B57" s="18"/>
      <c r="C57" s="24"/>
    </row>
    <row r="58" spans="1:3" x14ac:dyDescent="0.3">
      <c r="A58" s="16" t="s">
        <v>55</v>
      </c>
      <c r="B58" s="17"/>
      <c r="C58" s="24"/>
    </row>
    <row r="59" spans="1:3" ht="15" thickBot="1" x14ac:dyDescent="0.35">
      <c r="A59" s="19" t="s">
        <v>56</v>
      </c>
      <c r="B59" s="20"/>
      <c r="C59" s="25"/>
    </row>
    <row r="60" spans="1:3" ht="14.4" customHeight="1" x14ac:dyDescent="0.3">
      <c r="A60" s="11" t="s">
        <v>47</v>
      </c>
      <c r="B60" s="12"/>
      <c r="C60" s="26" t="s">
        <v>89</v>
      </c>
    </row>
    <row r="61" spans="1:3" x14ac:dyDescent="0.3">
      <c r="A61" s="13" t="s">
        <v>48</v>
      </c>
      <c r="B61" s="5"/>
      <c r="C61" s="26"/>
    </row>
    <row r="62" spans="1:3" x14ac:dyDescent="0.3">
      <c r="A62" s="13" t="s">
        <v>49</v>
      </c>
      <c r="B62" s="5"/>
      <c r="C62" s="26"/>
    </row>
    <row r="63" spans="1:3" x14ac:dyDescent="0.3">
      <c r="A63" s="13" t="s">
        <v>50</v>
      </c>
      <c r="B63" s="5"/>
      <c r="C63" s="26"/>
    </row>
    <row r="64" spans="1:3" x14ac:dyDescent="0.3">
      <c r="A64" s="13" t="s">
        <v>51</v>
      </c>
      <c r="B64" s="5"/>
      <c r="C64" s="26"/>
    </row>
    <row r="65" spans="1:3" x14ac:dyDescent="0.3">
      <c r="A65" s="13" t="s">
        <v>52</v>
      </c>
      <c r="B65" s="5"/>
      <c r="C65" s="26"/>
    </row>
    <row r="66" spans="1:3" x14ac:dyDescent="0.3">
      <c r="A66" s="13" t="s">
        <v>53</v>
      </c>
      <c r="B66" s="5"/>
      <c r="C66" s="26"/>
    </row>
    <row r="67" spans="1:3" x14ac:dyDescent="0.3">
      <c r="A67" s="13" t="s">
        <v>54</v>
      </c>
      <c r="B67" s="6"/>
      <c r="C67" s="26"/>
    </row>
    <row r="68" spans="1:3" x14ac:dyDescent="0.3">
      <c r="A68" s="13" t="s">
        <v>55</v>
      </c>
      <c r="B68" s="5"/>
      <c r="C68" s="26"/>
    </row>
    <row r="69" spans="1:3" ht="15" thickBot="1" x14ac:dyDescent="0.35">
      <c r="A69" s="14" t="s">
        <v>56</v>
      </c>
      <c r="B69" s="15"/>
      <c r="C69" s="27"/>
    </row>
    <row r="70" spans="1:3" ht="14.4" customHeight="1" x14ac:dyDescent="0.3">
      <c r="A70" s="16" t="s">
        <v>47</v>
      </c>
      <c r="B70" s="17"/>
      <c r="C70" s="24" t="s">
        <v>57</v>
      </c>
    </row>
    <row r="71" spans="1:3" x14ac:dyDescent="0.3">
      <c r="A71" s="16" t="s">
        <v>48</v>
      </c>
      <c r="B71" s="17"/>
      <c r="C71" s="24"/>
    </row>
    <row r="72" spans="1:3" x14ac:dyDescent="0.3">
      <c r="A72" s="16" t="s">
        <v>49</v>
      </c>
      <c r="B72" s="17"/>
      <c r="C72" s="24"/>
    </row>
    <row r="73" spans="1:3" x14ac:dyDescent="0.3">
      <c r="A73" s="16" t="s">
        <v>50</v>
      </c>
      <c r="B73" s="17"/>
      <c r="C73" s="24"/>
    </row>
    <row r="74" spans="1:3" x14ac:dyDescent="0.3">
      <c r="A74" s="16" t="s">
        <v>51</v>
      </c>
      <c r="B74" s="17"/>
      <c r="C74" s="24"/>
    </row>
    <row r="75" spans="1:3" x14ac:dyDescent="0.3">
      <c r="A75" s="16" t="s">
        <v>52</v>
      </c>
      <c r="B75" s="17"/>
      <c r="C75" s="24"/>
    </row>
    <row r="76" spans="1:3" x14ac:dyDescent="0.3">
      <c r="A76" s="16" t="s">
        <v>53</v>
      </c>
      <c r="B76" s="17"/>
      <c r="C76" s="24"/>
    </row>
    <row r="77" spans="1:3" x14ac:dyDescent="0.3">
      <c r="A77" s="16" t="s">
        <v>54</v>
      </c>
      <c r="B77" s="18"/>
      <c r="C77" s="24"/>
    </row>
    <row r="78" spans="1:3" x14ac:dyDescent="0.3">
      <c r="A78" s="16" t="s">
        <v>55</v>
      </c>
      <c r="B78" s="17"/>
      <c r="C78" s="24"/>
    </row>
    <row r="79" spans="1:3" ht="15" thickBot="1" x14ac:dyDescent="0.35">
      <c r="A79" s="19" t="s">
        <v>56</v>
      </c>
      <c r="B79" s="20"/>
      <c r="C79" s="25"/>
    </row>
    <row r="80" spans="1:3" ht="14.4" customHeight="1" x14ac:dyDescent="0.3">
      <c r="A80" s="11" t="s">
        <v>47</v>
      </c>
      <c r="B80" s="12"/>
      <c r="C80" s="26" t="s">
        <v>90</v>
      </c>
    </row>
    <row r="81" spans="1:3" x14ac:dyDescent="0.3">
      <c r="A81" s="13" t="s">
        <v>48</v>
      </c>
      <c r="B81" s="5"/>
      <c r="C81" s="26"/>
    </row>
    <row r="82" spans="1:3" x14ac:dyDescent="0.3">
      <c r="A82" s="13" t="s">
        <v>49</v>
      </c>
      <c r="B82" s="5"/>
      <c r="C82" s="26"/>
    </row>
    <row r="83" spans="1:3" x14ac:dyDescent="0.3">
      <c r="A83" s="13" t="s">
        <v>50</v>
      </c>
      <c r="B83" s="5"/>
      <c r="C83" s="26"/>
    </row>
    <row r="84" spans="1:3" x14ac:dyDescent="0.3">
      <c r="A84" s="13" t="s">
        <v>51</v>
      </c>
      <c r="B84" s="5"/>
      <c r="C84" s="26"/>
    </row>
    <row r="85" spans="1:3" x14ac:dyDescent="0.3">
      <c r="A85" s="13" t="s">
        <v>52</v>
      </c>
      <c r="B85" s="5"/>
      <c r="C85" s="26"/>
    </row>
    <row r="86" spans="1:3" x14ac:dyDescent="0.3">
      <c r="A86" s="13" t="s">
        <v>53</v>
      </c>
      <c r="B86" s="5"/>
      <c r="C86" s="26"/>
    </row>
    <row r="87" spans="1:3" x14ac:dyDescent="0.3">
      <c r="A87" s="13" t="s">
        <v>54</v>
      </c>
      <c r="B87" s="6"/>
      <c r="C87" s="26"/>
    </row>
    <row r="88" spans="1:3" x14ac:dyDescent="0.3">
      <c r="A88" s="13" t="s">
        <v>55</v>
      </c>
      <c r="B88" s="5"/>
      <c r="C88" s="26"/>
    </row>
    <row r="89" spans="1:3" ht="15" thickBot="1" x14ac:dyDescent="0.35">
      <c r="A89" s="14" t="s">
        <v>56</v>
      </c>
      <c r="B89" s="15" t="s">
        <v>58</v>
      </c>
      <c r="C89" s="27"/>
    </row>
    <row r="90" spans="1:3" ht="14.4" customHeight="1" x14ac:dyDescent="0.3">
      <c r="A90" s="16" t="s">
        <v>47</v>
      </c>
      <c r="B90" s="17"/>
      <c r="C90" s="24" t="s">
        <v>91</v>
      </c>
    </row>
    <row r="91" spans="1:3" x14ac:dyDescent="0.3">
      <c r="A91" s="16" t="s">
        <v>48</v>
      </c>
      <c r="B91" s="17"/>
      <c r="C91" s="24"/>
    </row>
    <row r="92" spans="1:3" x14ac:dyDescent="0.3">
      <c r="A92" s="16" t="s">
        <v>49</v>
      </c>
      <c r="B92" s="17"/>
      <c r="C92" s="24"/>
    </row>
    <row r="93" spans="1:3" x14ac:dyDescent="0.3">
      <c r="A93" s="16" t="s">
        <v>50</v>
      </c>
      <c r="B93" s="17"/>
      <c r="C93" s="24"/>
    </row>
    <row r="94" spans="1:3" x14ac:dyDescent="0.3">
      <c r="A94" s="16" t="s">
        <v>51</v>
      </c>
      <c r="B94" s="17"/>
      <c r="C94" s="24"/>
    </row>
    <row r="95" spans="1:3" x14ac:dyDescent="0.3">
      <c r="A95" s="16" t="s">
        <v>52</v>
      </c>
      <c r="B95" s="17"/>
      <c r="C95" s="24"/>
    </row>
    <row r="96" spans="1:3" x14ac:dyDescent="0.3">
      <c r="A96" s="16" t="s">
        <v>53</v>
      </c>
      <c r="B96" s="17"/>
      <c r="C96" s="24"/>
    </row>
    <row r="97" spans="1:3" x14ac:dyDescent="0.3">
      <c r="A97" s="16" t="s">
        <v>54</v>
      </c>
      <c r="B97" s="18"/>
      <c r="C97" s="24"/>
    </row>
    <row r="98" spans="1:3" x14ac:dyDescent="0.3">
      <c r="A98" s="16" t="s">
        <v>55</v>
      </c>
      <c r="B98" s="17"/>
      <c r="C98" s="24"/>
    </row>
    <row r="99" spans="1:3" ht="15" thickBot="1" x14ac:dyDescent="0.35">
      <c r="A99" s="19" t="s">
        <v>56</v>
      </c>
      <c r="B99" s="20"/>
      <c r="C99" s="25"/>
    </row>
    <row r="100" spans="1:3" ht="14.4" customHeight="1" x14ac:dyDescent="0.3">
      <c r="A100" s="11" t="s">
        <v>47</v>
      </c>
      <c r="B100" s="12"/>
      <c r="C100" s="26" t="s">
        <v>92</v>
      </c>
    </row>
    <row r="101" spans="1:3" x14ac:dyDescent="0.3">
      <c r="A101" s="13" t="s">
        <v>48</v>
      </c>
      <c r="B101" s="5"/>
      <c r="C101" s="26"/>
    </row>
    <row r="102" spans="1:3" x14ac:dyDescent="0.3">
      <c r="A102" s="13" t="s">
        <v>49</v>
      </c>
      <c r="B102" s="5"/>
      <c r="C102" s="26"/>
    </row>
    <row r="103" spans="1:3" x14ac:dyDescent="0.3">
      <c r="A103" s="13" t="s">
        <v>50</v>
      </c>
      <c r="B103" s="5"/>
      <c r="C103" s="26"/>
    </row>
    <row r="104" spans="1:3" x14ac:dyDescent="0.3">
      <c r="A104" s="13" t="s">
        <v>51</v>
      </c>
      <c r="B104" s="5"/>
      <c r="C104" s="26"/>
    </row>
    <row r="105" spans="1:3" x14ac:dyDescent="0.3">
      <c r="A105" s="13" t="s">
        <v>52</v>
      </c>
      <c r="B105" s="5"/>
      <c r="C105" s="26"/>
    </row>
    <row r="106" spans="1:3" x14ac:dyDescent="0.3">
      <c r="A106" s="13" t="s">
        <v>53</v>
      </c>
      <c r="B106" s="5"/>
      <c r="C106" s="26"/>
    </row>
    <row r="107" spans="1:3" x14ac:dyDescent="0.3">
      <c r="A107" s="13" t="s">
        <v>54</v>
      </c>
      <c r="B107" s="6"/>
      <c r="C107" s="26"/>
    </row>
    <row r="108" spans="1:3" x14ac:dyDescent="0.3">
      <c r="A108" s="13" t="s">
        <v>55</v>
      </c>
      <c r="B108" s="5"/>
      <c r="C108" s="26"/>
    </row>
    <row r="109" spans="1:3" ht="15" thickBot="1" x14ac:dyDescent="0.35">
      <c r="A109" s="14" t="s">
        <v>56</v>
      </c>
      <c r="B109" s="15"/>
      <c r="C109" s="27"/>
    </row>
  </sheetData>
  <mergeCells count="10">
    <mergeCell ref="C70:C79"/>
    <mergeCell ref="C80:C89"/>
    <mergeCell ref="C90:C99"/>
    <mergeCell ref="C100:C109"/>
    <mergeCell ref="C10:C19"/>
    <mergeCell ref="C20:C29"/>
    <mergeCell ref="C30:C39"/>
    <mergeCell ref="C40:C49"/>
    <mergeCell ref="C50:C59"/>
    <mergeCell ref="C60:C6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isteme_giriş">
                <anchor moveWithCells="1" sizeWithCells="1">
                  <from>
                    <xdr:col>6</xdr:col>
                    <xdr:colOff>518160</xdr:colOff>
                    <xdr:row>14</xdr:row>
                    <xdr:rowOff>76200</xdr:rowOff>
                  </from>
                  <to>
                    <xdr:col>10</xdr:col>
                    <xdr:colOff>60960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Sayfa2</vt:lpstr>
      <vt:lpstr>Sayfa3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Dağlı</dc:creator>
  <cp:lastModifiedBy>Chris Green</cp:lastModifiedBy>
  <dcterms:created xsi:type="dcterms:W3CDTF">2019-04-23T17:00:58Z</dcterms:created>
  <dcterms:modified xsi:type="dcterms:W3CDTF">2023-12-31T10:36:48Z</dcterms:modified>
</cp:coreProperties>
</file>